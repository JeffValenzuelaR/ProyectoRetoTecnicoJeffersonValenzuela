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Roadmap" sheetId="2" r:id="rId6"/>
    <sheet state="visible" name="Equipo y Capacidad" sheetId="3" r:id="rId7"/>
  </sheets>
  <definedNames/>
  <calcPr/>
</workbook>
</file>

<file path=xl/sharedStrings.xml><?xml version="1.0" encoding="utf-8"?>
<sst xmlns="http://schemas.openxmlformats.org/spreadsheetml/2006/main" count="448" uniqueCount="160">
  <si>
    <t>Sprint</t>
  </si>
  <si>
    <t>ID</t>
  </si>
  <si>
    <t>Fecha Inicio</t>
  </si>
  <si>
    <t>Fecha Fin</t>
  </si>
  <si>
    <t>Épica</t>
  </si>
  <si>
    <t>Objetivo del Sprint</t>
  </si>
  <si>
    <t>Historia de Usuario / Tarea</t>
  </si>
  <si>
    <t>Épicas Cubiertas</t>
  </si>
  <si>
    <t>Entregable Clave</t>
  </si>
  <si>
    <t>Tipo</t>
  </si>
  <si>
    <t>Story Points Planificados</t>
  </si>
  <si>
    <t>Prioridad</t>
  </si>
  <si>
    <t>Áreas de Soporte Críticas</t>
  </si>
  <si>
    <t>Story Points</t>
  </si>
  <si>
    <t>Rol Principal</t>
  </si>
  <si>
    <t>Áreas de Soporte Involucradas</t>
  </si>
  <si>
    <t>Sprint Objetivo</t>
  </si>
  <si>
    <t>Estado</t>
  </si>
  <si>
    <t>Rol</t>
  </si>
  <si>
    <t>Sprint 1</t>
  </si>
  <si>
    <t>Cantidad</t>
  </si>
  <si>
    <t>Capacidad Estimada (SP/Sprint c/u)</t>
  </si>
  <si>
    <t>Capacidad Total del Rol (SP/Sprint)</t>
  </si>
  <si>
    <t>E1 - Fundamentos de Plataforma</t>
  </si>
  <si>
    <t>Aprobar arquitectura de referenci con el arquitecto de software</t>
  </si>
  <si>
    <t>Fundamentos de plataforma y arquitectura aprobada</t>
  </si>
  <si>
    <t>Líder Técnico (LT)</t>
  </si>
  <si>
    <t>E1</t>
  </si>
  <si>
    <t>Repos, CI/CD base, IaC base, entorno DEV, Arquitectura aprobada</t>
  </si>
  <si>
    <t>Tarea técnica</t>
  </si>
  <si>
    <t>Alta</t>
  </si>
  <si>
    <t>LT</t>
  </si>
  <si>
    <t>Arquitectura</t>
  </si>
  <si>
    <t>Arquitectura, Plataforma</t>
  </si>
  <si>
    <t>Backend</t>
  </si>
  <si>
    <t>Realizado</t>
  </si>
  <si>
    <t>Provisionar repos Git + estructura de monorepo/multi-repo</t>
  </si>
  <si>
    <t>Frontend</t>
  </si>
  <si>
    <t>Sprint 2</t>
  </si>
  <si>
    <t>MVP funcional: creación de eventos + notificación asíncrona</t>
  </si>
  <si>
    <t>E2, E3</t>
  </si>
  <si>
    <t>Plataforma</t>
  </si>
  <si>
    <t>EventService + NotificationService desplegados en DEV, flujo EventCreated end-to-end</t>
  </si>
  <si>
    <t>FullStack</t>
  </si>
  <si>
    <t>Base de Datos, Arquitectura</t>
  </si>
  <si>
    <t>Pipeline CI base (build + test + análisis estático) por servicio</t>
  </si>
  <si>
    <t>Sprint 3</t>
  </si>
  <si>
    <t>Identidad real y gateway centralizado</t>
  </si>
  <si>
    <t>E4</t>
  </si>
  <si>
    <t>OIDC integrado, roles aplicados, API Gateway (Kong) frente a todos los servicios</t>
  </si>
  <si>
    <t>IaC base con Terraform (red, IAM, buckets de estado)</t>
  </si>
  <si>
    <t>QA</t>
  </si>
  <si>
    <t>Plataforma, Seguridad</t>
  </si>
  <si>
    <t>Seguridad, Arquitectura, Plataforma</t>
  </si>
  <si>
    <t>Entorno DEV (docker-compose) documentado y reproducible</t>
  </si>
  <si>
    <t>Sprint 4</t>
  </si>
  <si>
    <t>UX</t>
  </si>
  <si>
    <t>Búsqueda avanzada de eventos</t>
  </si>
  <si>
    <t>E5</t>
  </si>
  <si>
    <t>SearchService con indexación desde EventCreated, UI de búsqueda</t>
  </si>
  <si>
    <t>Definir política de branching, versionado semántico y PR template</t>
  </si>
  <si>
    <t>Media</t>
  </si>
  <si>
    <t>-</t>
  </si>
  <si>
    <t>Base de Datos</t>
  </si>
  <si>
    <t>E2 - Gestión de Eventos (EventService)</t>
  </si>
  <si>
    <t>UI</t>
  </si>
  <si>
    <t>Sprint 5</t>
  </si>
  <si>
    <t>Como Admin quiero crear un evento con zonas para publicarlo</t>
  </si>
  <si>
    <t>Reservas de alta concurrencia (parte 1)</t>
  </si>
  <si>
    <t>Historia</t>
  </si>
  <si>
    <t>E6</t>
  </si>
  <si>
    <t>TicketingService: modelo de datos y control de concurrencia atómico</t>
  </si>
  <si>
    <t>Como Cliente quiero listar eventos publicados con baja latencia</t>
  </si>
  <si>
    <t>Arquitectura, Base de Datos</t>
  </si>
  <si>
    <t>Scrum Master</t>
  </si>
  <si>
    <t>Sprint 6</t>
  </si>
  <si>
    <t>Cache-aside con Redis para GET /events + invalidación</t>
  </si>
  <si>
    <t>Reservas de alta concurrencia (parte 2) + Staging</t>
  </si>
  <si>
    <t>Expiración de reservas, pruebas de carga preliminares, entorno Staging listo</t>
  </si>
  <si>
    <t>Product Owner</t>
  </si>
  <si>
    <t>Outbox transaccional para publicar EventCreated de forma confiable</t>
  </si>
  <si>
    <t>TOTAL EQUIPO</t>
  </si>
  <si>
    <t>Sprint 7</t>
  </si>
  <si>
    <t>Validaciones de negocio (capacidad&gt;0, precio&gt;=0) con FluentValidation</t>
  </si>
  <si>
    <t>Pagos y Saga de compra (parte 1)</t>
  </si>
  <si>
    <t>E7</t>
  </si>
  <si>
    <t>PaymentService con Saga orquestada reserva-&gt;cobro, integración PSP sandbox</t>
  </si>
  <si>
    <t>E3 - Notificaciones (NotificationService)</t>
  </si>
  <si>
    <t>Consumir EventCreated y registrar auditoría/notificación</t>
  </si>
  <si>
    <t>Seguridad, Arquitectura</t>
  </si>
  <si>
    <t>Idempotencia del consumidor (índice único + captura de duplicado)</t>
  </si>
  <si>
    <t>Sprint 8</t>
  </si>
  <si>
    <t>Reintentos con backoff + Dead Letter Queue</t>
  </si>
  <si>
    <t>Pagos, compensaciones y resiliencia (parte 2)</t>
  </si>
  <si>
    <t>Compensación ante fallo de pago, reembolsos auditables, circuit breaker/bulkhead</t>
  </si>
  <si>
    <t>Envío de notificación por correo (MailKit)</t>
  </si>
  <si>
    <t>E4 - Identidad y Accesos (UserService)</t>
  </si>
  <si>
    <t>Sprint 9</t>
  </si>
  <si>
    <t>Emisión de tickets y check-in (parte 1)</t>
  </si>
  <si>
    <t>Como Usuario quiero autenticarme para operar según mi rol</t>
  </si>
  <si>
    <t>E8</t>
  </si>
  <si>
    <t>QR generado y almacenado, validación de check-in online</t>
  </si>
  <si>
    <t>Seguridad</t>
  </si>
  <si>
    <t>Integrar OIDC real (IdP) reemplazando JWT local del MVP</t>
  </si>
  <si>
    <t>Sprint 10</t>
  </si>
  <si>
    <t>Check-in offline-first (parte 2)</t>
  </si>
  <si>
    <t>Modo offline con sincronización diferida para Staff de puerta</t>
  </si>
  <si>
    <t>Autorización por rol (Admin/Promotor/Staff/Cliente)</t>
  </si>
  <si>
    <t>Por hacer</t>
  </si>
  <si>
    <t>Desplegar API Gateway (Kong) frente a todos los servicios</t>
  </si>
  <si>
    <t>Sprint 11</t>
  </si>
  <si>
    <t>Observabilidad, auditoría y cumplimiento</t>
  </si>
  <si>
    <t>E9</t>
  </si>
  <si>
    <t>Tracing distribuido, dashboards, auditoría de operaciones sensibles</t>
  </si>
  <si>
    <t>Arquitectura, Seguridad, Plataforma</t>
  </si>
  <si>
    <t>Rate limiting y políticas de throttling en el Gateway</t>
  </si>
  <si>
    <t>E5 - Búsqueda Avanzada (SearchService)</t>
  </si>
  <si>
    <t>Sprint 12</t>
  </si>
  <si>
    <t>Endurecimiento y validación de negocio</t>
  </si>
  <si>
    <t>E10</t>
  </si>
  <si>
    <t>Pruebas de carga end-to-end, autoscaling ajustado, UAT en Staging</t>
  </si>
  <si>
    <t>Como Cliente quiero buscar eventos por múltiples criterios</t>
  </si>
  <si>
    <t>Indexar eventos en OpenSearch desde eventos de dominio</t>
  </si>
  <si>
    <t>Sprint 13</t>
  </si>
  <si>
    <t>Cierre y lanzamiento</t>
  </si>
  <si>
    <t>Hallazgos de UAT corregidos, documentación final, go-live en Production</t>
  </si>
  <si>
    <t>Diseñar UI de búsqueda con filtros (React)</t>
  </si>
  <si>
    <t>E6 - Ventas y Reservas de Tickets (TicketingService)</t>
  </si>
  <si>
    <t>Como Cliente quiero reservar zona/tickets sin sobreventa</t>
  </si>
  <si>
    <t>TOTAL</t>
  </si>
  <si>
    <t>Control de concurrencia atómico (Redis/optimistic locking)</t>
  </si>
  <si>
    <t>Modelo de datos DynamoDB para reservas de alta concurrencia</t>
  </si>
  <si>
    <t>Expiración de reservas no pagadas (TTL)</t>
  </si>
  <si>
    <t>Pruebas de carga preliminares de reserva concurrente</t>
  </si>
  <si>
    <t>Entorno Staging con paridad de infraestructura</t>
  </si>
  <si>
    <t>E7 - Pagos y Compensaciones (PaymentService)</t>
  </si>
  <si>
    <t>Como Cliente quiero pagar mi reserva con un PSP externo</t>
  </si>
  <si>
    <t>Orquestar Saga: reserva -&gt; cobro -&gt; confirmación</t>
  </si>
  <si>
    <t>Integración sandbox con PSP de pagos</t>
  </si>
  <si>
    <t>Compensación: liberar reserva si el pago falla</t>
  </si>
  <si>
    <t>Flujo de reembolsos y su auditoría</t>
  </si>
  <si>
    <t>Circuit breaker + bulkhead hacia el PSP externo</t>
  </si>
  <si>
    <t>E8 - Entrega y Validación de Tickets (CheckInService)</t>
  </si>
  <si>
    <t>Como Cliente quiero recibir mi ticket con QR tras el pago</t>
  </si>
  <si>
    <t>Generación y almacenamiento de QR (S3)</t>
  </si>
  <si>
    <t>Como Staff quiero validar el ingreso escaneando el QR</t>
  </si>
  <si>
    <t>Modo offline-first para check-in sin conectividad</t>
  </si>
  <si>
    <t>Sincronización diferida de check-ins offline</t>
  </si>
  <si>
    <t>E9 - Observabilidad, Seguridad y Cumplimiento</t>
  </si>
  <si>
    <t>Tracing distribuido (OpenTelemetry) en todos los servicios</t>
  </si>
  <si>
    <t>Dashboards y alertas de negocio/infraestructura</t>
  </si>
  <si>
    <t>Auditoría de operaciones sensibles (quién hizo qué, cuándo)</t>
  </si>
  <si>
    <t>Revisión de cumplimiento (manejo de datos de pago, PII)</t>
  </si>
  <si>
    <t>E10 - Hardening, Carga y Lanzamiento</t>
  </si>
  <si>
    <t>Pruebas de carga end-to-end simulando pico de preventa</t>
  </si>
  <si>
    <t>Ajustes de autoscaling y límites de recursos</t>
  </si>
  <si>
    <t>UAT en Staging con Producto y stakeholders</t>
  </si>
  <si>
    <t>Corrección de hallazgos de UAT</t>
  </si>
  <si>
    <t>Documentación final (funcional + técnica) y runbooks</t>
  </si>
  <si>
    <t>Go-live en Production con plan de rollback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</si>
</sst>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0.0"/>
      <color rgb="FFFFFFFF"/>
      <name val="Roboto"/>
    </font>
    <font>
      <sz val="10.0"/>
      <color theme="1"/>
      <name val="Roboto"/>
    </font>
    <font>
      <b/>
      <sz val="10.0"/>
      <color theme="1"/>
      <name val="Roboto"/>
    </font>
    <font>
      <i/>
      <sz val="10.0"/>
      <color rgb="FF666666"/>
      <name val="Roboto"/>
    </font>
    <font/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vertical="center"/>
    </xf>
    <xf borderId="1" fillId="7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  <xf borderId="1" fillId="8" fontId="2" numFmtId="0" xfId="0" applyAlignment="1" applyBorder="1" applyFill="1" applyFont="1">
      <alignment vertical="center"/>
    </xf>
    <xf borderId="1" fillId="8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vertical="center"/>
    </xf>
    <xf borderId="1" fillId="9" fontId="2" numFmtId="0" xfId="0" applyAlignment="1" applyBorder="1" applyFill="1" applyFont="1">
      <alignment shrinkToFit="0" vertical="center" wrapText="1"/>
    </xf>
    <xf borderId="1" fillId="9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vertical="center"/>
    </xf>
    <xf borderId="1" fillId="10" fontId="2" numFmtId="0" xfId="0" applyAlignment="1" applyBorder="1" applyFill="1" applyFont="1">
      <alignment shrinkToFit="0" vertical="center" wrapText="1"/>
    </xf>
    <xf borderId="1" fillId="10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A5C92"/>
          <bgColor rgb="FF4A5C92"/>
        </patternFill>
      </fill>
      <border/>
    </dxf>
    <dxf>
      <font/>
      <fill>
        <patternFill patternType="solid">
          <fgColor rgb="FFEDECF4"/>
          <bgColor rgb="FFED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Backlog-style">
      <tableStyleElement dxfId="1" type="headerRow"/>
      <tableStyleElement dxfId="2" type="firstRowStripe"/>
      <tableStyleElement dxfId="3" type="secondRowStripe"/>
    </tableStyle>
    <tableStyle count="3" pivot="0" name="Roadmap-style">
      <tableStyleElement dxfId="1" type="headerRow"/>
      <tableStyleElement dxfId="2" type="firstRowStripe"/>
      <tableStyleElement dxfId="3" type="secondRowStripe"/>
    </tableStyle>
    <tableStyle count="3" pivot="0" name="Equipo y Capacida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1" displayName="Table_1" name="Table_1" id="2">
  <tableColumns count="10">
    <tableColumn name="ID" id="1"/>
    <tableColumn name="Épica" id="2"/>
    <tableColumn name="Historia de Usuario / Tarea" id="3"/>
    <tableColumn name="Tipo" id="4"/>
    <tableColumn name="Prioridad" id="5"/>
    <tableColumn name="Story Points" id="6"/>
    <tableColumn name="Rol Principal" id="7"/>
    <tableColumn name="Áreas de Soporte Involucradas" id="8"/>
    <tableColumn name="Sprint Objetivo" id="9"/>
    <tableColumn name="Estado" id="10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1:H14" displayName="Table_2" name="Table_2" id="1">
  <tableColumns count="8">
    <tableColumn name="Sprint" id="1"/>
    <tableColumn name="Fecha Inicio" id="2"/>
    <tableColumn name="Fecha Fin" id="3"/>
    <tableColumn name="Objetivo del Sprint" id="4"/>
    <tableColumn name="Épicas Cubiertas" id="5"/>
    <tableColumn name="Entregable Clave" id="6"/>
    <tableColumn name="Story Points Planificados" id="7"/>
    <tableColumn name="Áreas de Soporte Críticas" id="8"/>
  </tableColumns>
  <tableStyleInfo name="Roadmap-style" showColumnStripes="0" showFirstColumn="1" showLastColumn="1" showRowStripes="1"/>
</table>
</file>

<file path=xl/tables/table3.xml><?xml version="1.0" encoding="utf-8"?>
<table xmlns="http://schemas.openxmlformats.org/spreadsheetml/2006/main" ref="A1:D10" displayName="Table_3" name="Table_3" id="3">
  <tableColumns count="4">
    <tableColumn name="Rol" id="1"/>
    <tableColumn name="Cantidad" id="2"/>
    <tableColumn name="Capacidad Estimada (SP/Sprint c/u)" id="3"/>
    <tableColumn name="Capacidad Total del Rol (SP/Sprint)" id="4"/>
  </tableColumns>
  <tableStyleInfo name="Equipo y Capac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46.0"/>
    <col customWidth="1" min="3" max="3" width="85.86"/>
    <col customWidth="1" min="4" max="4" width="18.29"/>
    <col customWidth="1" min="5" max="5" width="17.86"/>
    <col customWidth="1" min="6" max="6" width="12.43"/>
    <col customWidth="1" min="7" max="7" width="21.43"/>
    <col customWidth="1" min="8" max="8" width="33.0"/>
    <col customWidth="1" min="9" max="9" width="9.86"/>
    <col customWidth="1" min="10" max="10" width="20.71"/>
    <col customWidth="1" min="11" max="26" width="8.71"/>
  </cols>
  <sheetData>
    <row r="1" ht="26.25" customHeight="1">
      <c r="A1" s="1" t="s">
        <v>1</v>
      </c>
      <c r="B1" s="1" t="s">
        <v>4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4">
        <v>1.0</v>
      </c>
      <c r="B2" s="6" t="s">
        <v>23</v>
      </c>
      <c r="C2" s="7" t="s">
        <v>24</v>
      </c>
      <c r="D2" s="6" t="s">
        <v>29</v>
      </c>
      <c r="E2" s="11" t="s">
        <v>30</v>
      </c>
      <c r="F2" s="11">
        <v>5.0</v>
      </c>
      <c r="G2" s="11" t="s">
        <v>31</v>
      </c>
      <c r="H2" s="11" t="s">
        <v>32</v>
      </c>
      <c r="I2" s="11">
        <v>1.0</v>
      </c>
      <c r="J2" s="4" t="s">
        <v>35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4">
        <v>2.0</v>
      </c>
      <c r="B3" s="6" t="s">
        <v>23</v>
      </c>
      <c r="C3" s="12" t="s">
        <v>36</v>
      </c>
      <c r="D3" s="6" t="s">
        <v>29</v>
      </c>
      <c r="E3" s="11" t="s">
        <v>30</v>
      </c>
      <c r="F3" s="11">
        <v>3.0</v>
      </c>
      <c r="G3" s="11" t="s">
        <v>34</v>
      </c>
      <c r="H3" s="11" t="s">
        <v>41</v>
      </c>
      <c r="I3" s="11">
        <v>1.0</v>
      </c>
      <c r="J3" s="4" t="s">
        <v>35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4">
        <v>3.0</v>
      </c>
      <c r="B4" s="6" t="s">
        <v>23</v>
      </c>
      <c r="C4" s="12" t="s">
        <v>45</v>
      </c>
      <c r="D4" s="6" t="s">
        <v>29</v>
      </c>
      <c r="E4" s="11" t="s">
        <v>30</v>
      </c>
      <c r="F4" s="11">
        <v>8.0</v>
      </c>
      <c r="G4" s="11" t="s">
        <v>34</v>
      </c>
      <c r="H4" s="11" t="s">
        <v>41</v>
      </c>
      <c r="I4" s="11">
        <v>1.0</v>
      </c>
      <c r="J4" s="4" t="s">
        <v>35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4">
        <v>4.0</v>
      </c>
      <c r="B5" s="6" t="s">
        <v>23</v>
      </c>
      <c r="C5" s="12" t="s">
        <v>50</v>
      </c>
      <c r="D5" s="6" t="s">
        <v>29</v>
      </c>
      <c r="E5" s="11" t="s">
        <v>30</v>
      </c>
      <c r="F5" s="11">
        <v>8.0</v>
      </c>
      <c r="G5" s="11" t="s">
        <v>34</v>
      </c>
      <c r="H5" s="11" t="s">
        <v>52</v>
      </c>
      <c r="I5" s="11">
        <v>1.0</v>
      </c>
      <c r="J5" s="4" t="s">
        <v>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4">
        <v>5.0</v>
      </c>
      <c r="B6" s="6" t="s">
        <v>23</v>
      </c>
      <c r="C6" s="12" t="s">
        <v>54</v>
      </c>
      <c r="D6" s="6" t="s">
        <v>29</v>
      </c>
      <c r="E6" s="11" t="s">
        <v>30</v>
      </c>
      <c r="F6" s="11">
        <v>5.0</v>
      </c>
      <c r="G6" s="11" t="s">
        <v>34</v>
      </c>
      <c r="H6" s="11" t="s">
        <v>41</v>
      </c>
      <c r="I6" s="11">
        <v>1.0</v>
      </c>
      <c r="J6" s="4" t="s">
        <v>35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4">
        <v>6.0</v>
      </c>
      <c r="B7" s="6" t="s">
        <v>23</v>
      </c>
      <c r="C7" s="12" t="s">
        <v>60</v>
      </c>
      <c r="D7" s="6" t="s">
        <v>29</v>
      </c>
      <c r="E7" s="11" t="s">
        <v>61</v>
      </c>
      <c r="F7" s="11">
        <v>3.0</v>
      </c>
      <c r="G7" s="11" t="s">
        <v>31</v>
      </c>
      <c r="H7" s="11" t="s">
        <v>62</v>
      </c>
      <c r="I7" s="11">
        <v>1.0</v>
      </c>
      <c r="J7" s="4" t="s">
        <v>35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4">
        <v>7.0</v>
      </c>
      <c r="B8" s="13" t="s">
        <v>64</v>
      </c>
      <c r="C8" s="14" t="s">
        <v>67</v>
      </c>
      <c r="D8" s="13" t="s">
        <v>69</v>
      </c>
      <c r="E8" s="15" t="s">
        <v>30</v>
      </c>
      <c r="F8" s="15">
        <v>8.0</v>
      </c>
      <c r="G8" s="15" t="s">
        <v>34</v>
      </c>
      <c r="H8" s="15" t="s">
        <v>63</v>
      </c>
      <c r="I8" s="15">
        <v>2.0</v>
      </c>
      <c r="J8" s="4" t="s">
        <v>35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4">
        <v>8.0</v>
      </c>
      <c r="B9" s="13" t="s">
        <v>64</v>
      </c>
      <c r="C9" s="14" t="s">
        <v>72</v>
      </c>
      <c r="D9" s="13" t="s">
        <v>69</v>
      </c>
      <c r="E9" s="15" t="s">
        <v>30</v>
      </c>
      <c r="F9" s="15">
        <v>5.0</v>
      </c>
      <c r="G9" s="15" t="s">
        <v>34</v>
      </c>
      <c r="H9" s="15" t="s">
        <v>62</v>
      </c>
      <c r="I9" s="15">
        <v>2.0</v>
      </c>
      <c r="J9" s="4" t="s">
        <v>35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4">
        <v>9.0</v>
      </c>
      <c r="B10" s="13" t="s">
        <v>64</v>
      </c>
      <c r="C10" s="14" t="s">
        <v>76</v>
      </c>
      <c r="D10" s="13" t="s">
        <v>29</v>
      </c>
      <c r="E10" s="15" t="s">
        <v>61</v>
      </c>
      <c r="F10" s="15">
        <v>5.0</v>
      </c>
      <c r="G10" s="15" t="s">
        <v>34</v>
      </c>
      <c r="H10" s="15" t="s">
        <v>62</v>
      </c>
      <c r="I10" s="15">
        <v>2.0</v>
      </c>
      <c r="J10" s="4" t="s">
        <v>35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4">
        <v>10.0</v>
      </c>
      <c r="B11" s="13" t="s">
        <v>64</v>
      </c>
      <c r="C11" s="14" t="s">
        <v>80</v>
      </c>
      <c r="D11" s="13" t="s">
        <v>29</v>
      </c>
      <c r="E11" s="15" t="s">
        <v>30</v>
      </c>
      <c r="F11" s="15">
        <v>8.0</v>
      </c>
      <c r="G11" s="15" t="s">
        <v>34</v>
      </c>
      <c r="H11" s="15" t="s">
        <v>32</v>
      </c>
      <c r="I11" s="15">
        <v>2.0</v>
      </c>
      <c r="J11" s="4" t="s">
        <v>35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4">
        <v>11.0</v>
      </c>
      <c r="B12" s="13" t="s">
        <v>64</v>
      </c>
      <c r="C12" s="14" t="s">
        <v>83</v>
      </c>
      <c r="D12" s="13" t="s">
        <v>29</v>
      </c>
      <c r="E12" s="15" t="s">
        <v>61</v>
      </c>
      <c r="F12" s="15">
        <v>3.0</v>
      </c>
      <c r="G12" s="15" t="s">
        <v>34</v>
      </c>
      <c r="H12" s="15" t="s">
        <v>62</v>
      </c>
      <c r="I12" s="15">
        <v>2.0</v>
      </c>
      <c r="J12" s="4" t="s">
        <v>35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4">
        <v>12.0</v>
      </c>
      <c r="B13" s="13" t="s">
        <v>87</v>
      </c>
      <c r="C13" s="14" t="s">
        <v>88</v>
      </c>
      <c r="D13" s="13" t="s">
        <v>69</v>
      </c>
      <c r="E13" s="15" t="s">
        <v>30</v>
      </c>
      <c r="F13" s="15">
        <v>5.0</v>
      </c>
      <c r="G13" s="15" t="s">
        <v>34</v>
      </c>
      <c r="H13" s="15" t="s">
        <v>62</v>
      </c>
      <c r="I13" s="15">
        <v>2.0</v>
      </c>
      <c r="J13" s="4" t="s">
        <v>35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4">
        <v>13.0</v>
      </c>
      <c r="B14" s="13" t="s">
        <v>87</v>
      </c>
      <c r="C14" s="14" t="s">
        <v>90</v>
      </c>
      <c r="D14" s="13" t="s">
        <v>29</v>
      </c>
      <c r="E14" s="15" t="s">
        <v>30</v>
      </c>
      <c r="F14" s="15">
        <v>5.0</v>
      </c>
      <c r="G14" s="15" t="s">
        <v>34</v>
      </c>
      <c r="H14" s="15" t="s">
        <v>63</v>
      </c>
      <c r="I14" s="15">
        <v>2.0</v>
      </c>
      <c r="J14" s="4" t="s">
        <v>35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4">
        <v>14.0</v>
      </c>
      <c r="B15" s="13" t="s">
        <v>87</v>
      </c>
      <c r="C15" s="14" t="s">
        <v>92</v>
      </c>
      <c r="D15" s="13" t="s">
        <v>29</v>
      </c>
      <c r="E15" s="15" t="s">
        <v>30</v>
      </c>
      <c r="F15" s="15">
        <v>5.0</v>
      </c>
      <c r="G15" s="15" t="s">
        <v>34</v>
      </c>
      <c r="H15" s="15" t="s">
        <v>32</v>
      </c>
      <c r="I15" s="15">
        <v>2.0</v>
      </c>
      <c r="J15" s="4" t="s">
        <v>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4">
        <v>15.0</v>
      </c>
      <c r="B16" s="13" t="s">
        <v>87</v>
      </c>
      <c r="C16" s="14" t="s">
        <v>95</v>
      </c>
      <c r="D16" s="13" t="s">
        <v>69</v>
      </c>
      <c r="E16" s="15" t="s">
        <v>61</v>
      </c>
      <c r="F16" s="15">
        <v>3.0</v>
      </c>
      <c r="G16" s="15" t="s">
        <v>34</v>
      </c>
      <c r="H16" s="15" t="s">
        <v>62</v>
      </c>
      <c r="I16" s="15">
        <v>2.0</v>
      </c>
      <c r="J16" s="4" t="s">
        <v>35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4">
        <v>16.0</v>
      </c>
      <c r="B17" s="20" t="s">
        <v>96</v>
      </c>
      <c r="C17" s="21" t="s">
        <v>99</v>
      </c>
      <c r="D17" s="20" t="s">
        <v>69</v>
      </c>
      <c r="E17" s="22" t="s">
        <v>30</v>
      </c>
      <c r="F17" s="22">
        <v>8.0</v>
      </c>
      <c r="G17" s="22" t="s">
        <v>34</v>
      </c>
      <c r="H17" s="22" t="s">
        <v>102</v>
      </c>
      <c r="I17" s="22">
        <v>3.0</v>
      </c>
      <c r="J17" s="4" t="s">
        <v>35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4">
        <v>17.0</v>
      </c>
      <c r="B18" s="20" t="s">
        <v>96</v>
      </c>
      <c r="C18" s="21" t="s">
        <v>103</v>
      </c>
      <c r="D18" s="20" t="s">
        <v>29</v>
      </c>
      <c r="E18" s="22" t="s">
        <v>30</v>
      </c>
      <c r="F18" s="22">
        <v>8.0</v>
      </c>
      <c r="G18" s="22" t="s">
        <v>34</v>
      </c>
      <c r="H18" s="22" t="s">
        <v>102</v>
      </c>
      <c r="I18" s="22">
        <v>3.0</v>
      </c>
      <c r="J18" s="4" t="s">
        <v>35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4">
        <v>18.0</v>
      </c>
      <c r="B19" s="20" t="s">
        <v>96</v>
      </c>
      <c r="C19" s="21" t="s">
        <v>107</v>
      </c>
      <c r="D19" s="20" t="s">
        <v>29</v>
      </c>
      <c r="E19" s="22" t="s">
        <v>30</v>
      </c>
      <c r="F19" s="22">
        <v>5.0</v>
      </c>
      <c r="G19" s="22" t="s">
        <v>34</v>
      </c>
      <c r="H19" s="22" t="s">
        <v>102</v>
      </c>
      <c r="I19" s="22">
        <v>3.0</v>
      </c>
      <c r="J19" s="4" t="s">
        <v>108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4">
        <v>19.0</v>
      </c>
      <c r="B20" s="20" t="s">
        <v>96</v>
      </c>
      <c r="C20" s="21" t="s">
        <v>109</v>
      </c>
      <c r="D20" s="20" t="s">
        <v>29</v>
      </c>
      <c r="E20" s="22" t="s">
        <v>30</v>
      </c>
      <c r="F20" s="22">
        <v>8.0</v>
      </c>
      <c r="G20" s="22" t="s">
        <v>43</v>
      </c>
      <c r="H20" s="22" t="s">
        <v>114</v>
      </c>
      <c r="I20" s="22">
        <v>3.0</v>
      </c>
      <c r="J20" s="4" t="s">
        <v>108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25" customHeight="1">
      <c r="A21" s="4">
        <v>20.0</v>
      </c>
      <c r="B21" s="20" t="s">
        <v>96</v>
      </c>
      <c r="C21" s="21" t="s">
        <v>115</v>
      </c>
      <c r="D21" s="20" t="s">
        <v>29</v>
      </c>
      <c r="E21" s="22" t="s">
        <v>61</v>
      </c>
      <c r="F21" s="22">
        <v>5.0</v>
      </c>
      <c r="G21" s="22" t="s">
        <v>43</v>
      </c>
      <c r="H21" s="22" t="s">
        <v>102</v>
      </c>
      <c r="I21" s="22">
        <v>3.0</v>
      </c>
      <c r="J21" s="4" t="s">
        <v>108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4">
        <v>21.0</v>
      </c>
      <c r="B22" s="23" t="s">
        <v>116</v>
      </c>
      <c r="C22" s="24" t="s">
        <v>121</v>
      </c>
      <c r="D22" s="23" t="s">
        <v>69</v>
      </c>
      <c r="E22" s="25" t="s">
        <v>30</v>
      </c>
      <c r="F22" s="25">
        <v>8.0</v>
      </c>
      <c r="G22" s="25" t="s">
        <v>34</v>
      </c>
      <c r="H22" s="25" t="s">
        <v>62</v>
      </c>
      <c r="I22" s="25">
        <v>4.0</v>
      </c>
      <c r="J22" s="4" t="s">
        <v>108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4">
        <v>22.0</v>
      </c>
      <c r="B23" s="23" t="s">
        <v>116</v>
      </c>
      <c r="C23" s="24" t="s">
        <v>122</v>
      </c>
      <c r="D23" s="23" t="s">
        <v>29</v>
      </c>
      <c r="E23" s="25" t="s">
        <v>30</v>
      </c>
      <c r="F23" s="25">
        <v>8.0</v>
      </c>
      <c r="G23" s="25" t="s">
        <v>34</v>
      </c>
      <c r="H23" s="25" t="s">
        <v>63</v>
      </c>
      <c r="I23" s="25">
        <v>4.0</v>
      </c>
      <c r="J23" s="4" t="s">
        <v>108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4">
        <v>23.0</v>
      </c>
      <c r="B24" s="23" t="s">
        <v>116</v>
      </c>
      <c r="C24" s="24" t="s">
        <v>126</v>
      </c>
      <c r="D24" s="23" t="s">
        <v>69</v>
      </c>
      <c r="E24" s="25" t="s">
        <v>61</v>
      </c>
      <c r="F24" s="25">
        <v>5.0</v>
      </c>
      <c r="G24" s="25" t="s">
        <v>37</v>
      </c>
      <c r="H24" s="25" t="s">
        <v>62</v>
      </c>
      <c r="I24" s="25">
        <v>4.0</v>
      </c>
      <c r="J24" s="4" t="s">
        <v>108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25" customHeight="1">
      <c r="A25" s="4">
        <v>24.0</v>
      </c>
      <c r="B25" s="26" t="s">
        <v>127</v>
      </c>
      <c r="C25" s="27" t="s">
        <v>128</v>
      </c>
      <c r="D25" s="26" t="s">
        <v>69</v>
      </c>
      <c r="E25" s="28" t="s">
        <v>30</v>
      </c>
      <c r="F25" s="28">
        <v>13.0</v>
      </c>
      <c r="G25" s="28" t="s">
        <v>34</v>
      </c>
      <c r="H25" s="28" t="s">
        <v>32</v>
      </c>
      <c r="I25" s="28">
        <v>5.0</v>
      </c>
      <c r="J25" s="4" t="s">
        <v>108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25" customHeight="1">
      <c r="A26" s="4">
        <v>25.0</v>
      </c>
      <c r="B26" s="26" t="s">
        <v>127</v>
      </c>
      <c r="C26" s="27" t="s">
        <v>130</v>
      </c>
      <c r="D26" s="26" t="s">
        <v>29</v>
      </c>
      <c r="E26" s="28" t="s">
        <v>30</v>
      </c>
      <c r="F26" s="28">
        <v>8.0</v>
      </c>
      <c r="G26" s="28" t="s">
        <v>34</v>
      </c>
      <c r="H26" s="28" t="s">
        <v>32</v>
      </c>
      <c r="I26" s="28">
        <v>5.0</v>
      </c>
      <c r="J26" s="4" t="s">
        <v>108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25" customHeight="1">
      <c r="A27" s="4">
        <v>26.0</v>
      </c>
      <c r="B27" s="26" t="s">
        <v>127</v>
      </c>
      <c r="C27" s="27" t="s">
        <v>131</v>
      </c>
      <c r="D27" s="26" t="s">
        <v>29</v>
      </c>
      <c r="E27" s="28" t="s">
        <v>30</v>
      </c>
      <c r="F27" s="28">
        <v>8.0</v>
      </c>
      <c r="G27" s="28" t="s">
        <v>34</v>
      </c>
      <c r="H27" s="28" t="s">
        <v>63</v>
      </c>
      <c r="I27" s="28">
        <v>5.0</v>
      </c>
      <c r="J27" s="4" t="s">
        <v>108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25" customHeight="1">
      <c r="A28" s="4">
        <v>27.0</v>
      </c>
      <c r="B28" s="26" t="s">
        <v>127</v>
      </c>
      <c r="C28" s="27" t="s">
        <v>132</v>
      </c>
      <c r="D28" s="26" t="s">
        <v>29</v>
      </c>
      <c r="E28" s="28" t="s">
        <v>61</v>
      </c>
      <c r="F28" s="28">
        <v>5.0</v>
      </c>
      <c r="G28" s="28" t="s">
        <v>34</v>
      </c>
      <c r="H28" s="28" t="s">
        <v>62</v>
      </c>
      <c r="I28" s="28">
        <v>6.0</v>
      </c>
      <c r="J28" s="4" t="s">
        <v>108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25" customHeight="1">
      <c r="A29" s="4">
        <v>28.0</v>
      </c>
      <c r="B29" s="26" t="s">
        <v>127</v>
      </c>
      <c r="C29" s="27" t="s">
        <v>133</v>
      </c>
      <c r="D29" s="26" t="s">
        <v>29</v>
      </c>
      <c r="E29" s="28" t="s">
        <v>30</v>
      </c>
      <c r="F29" s="28">
        <v>8.0</v>
      </c>
      <c r="G29" s="28" t="s">
        <v>51</v>
      </c>
      <c r="H29" s="28" t="s">
        <v>41</v>
      </c>
      <c r="I29" s="28">
        <v>6.0</v>
      </c>
      <c r="J29" s="4" t="s">
        <v>108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25" customHeight="1">
      <c r="A30" s="4">
        <v>29.0</v>
      </c>
      <c r="B30" s="26" t="s">
        <v>127</v>
      </c>
      <c r="C30" s="27" t="s">
        <v>134</v>
      </c>
      <c r="D30" s="26" t="s">
        <v>29</v>
      </c>
      <c r="E30" s="28" t="s">
        <v>61</v>
      </c>
      <c r="F30" s="28">
        <v>5.0</v>
      </c>
      <c r="G30" s="28" t="s">
        <v>34</v>
      </c>
      <c r="H30" s="28" t="s">
        <v>41</v>
      </c>
      <c r="I30" s="28">
        <v>6.0</v>
      </c>
      <c r="J30" s="4" t="s">
        <v>108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4">
        <v>30.0</v>
      </c>
      <c r="B31" s="26" t="s">
        <v>135</v>
      </c>
      <c r="C31" s="27" t="s">
        <v>136</v>
      </c>
      <c r="D31" s="26" t="s">
        <v>69</v>
      </c>
      <c r="E31" s="28" t="s">
        <v>30</v>
      </c>
      <c r="F31" s="28">
        <v>13.0</v>
      </c>
      <c r="G31" s="28" t="s">
        <v>34</v>
      </c>
      <c r="H31" s="28" t="s">
        <v>102</v>
      </c>
      <c r="I31" s="28">
        <v>7.0</v>
      </c>
      <c r="J31" s="4" t="s">
        <v>108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25" customHeight="1">
      <c r="A32" s="4">
        <v>31.0</v>
      </c>
      <c r="B32" s="26" t="s">
        <v>135</v>
      </c>
      <c r="C32" s="27" t="s">
        <v>137</v>
      </c>
      <c r="D32" s="26" t="s">
        <v>29</v>
      </c>
      <c r="E32" s="28" t="s">
        <v>30</v>
      </c>
      <c r="F32" s="28">
        <v>13.0</v>
      </c>
      <c r="G32" s="28" t="s">
        <v>34</v>
      </c>
      <c r="H32" s="28" t="s">
        <v>32</v>
      </c>
      <c r="I32" s="28">
        <v>7.0</v>
      </c>
      <c r="J32" s="4" t="s">
        <v>108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>
      <c r="A33" s="4">
        <v>32.0</v>
      </c>
      <c r="B33" s="26" t="s">
        <v>135</v>
      </c>
      <c r="C33" s="27" t="s">
        <v>138</v>
      </c>
      <c r="D33" s="26" t="s">
        <v>29</v>
      </c>
      <c r="E33" s="28" t="s">
        <v>30</v>
      </c>
      <c r="F33" s="28">
        <v>8.0</v>
      </c>
      <c r="G33" s="28" t="s">
        <v>34</v>
      </c>
      <c r="H33" s="28" t="s">
        <v>102</v>
      </c>
      <c r="I33" s="28">
        <v>7.0</v>
      </c>
      <c r="J33" s="4" t="s">
        <v>108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4">
        <v>33.0</v>
      </c>
      <c r="B34" s="26" t="s">
        <v>135</v>
      </c>
      <c r="C34" s="27" t="s">
        <v>139</v>
      </c>
      <c r="D34" s="26" t="s">
        <v>29</v>
      </c>
      <c r="E34" s="28" t="s">
        <v>30</v>
      </c>
      <c r="F34" s="28">
        <v>8.0</v>
      </c>
      <c r="G34" s="28" t="s">
        <v>34</v>
      </c>
      <c r="H34" s="28" t="s">
        <v>32</v>
      </c>
      <c r="I34" s="28">
        <v>8.0</v>
      </c>
      <c r="J34" s="4" t="s">
        <v>108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4">
        <v>34.0</v>
      </c>
      <c r="B35" s="26" t="s">
        <v>135</v>
      </c>
      <c r="C35" s="27" t="s">
        <v>140</v>
      </c>
      <c r="D35" s="26" t="s">
        <v>69</v>
      </c>
      <c r="E35" s="28" t="s">
        <v>61</v>
      </c>
      <c r="F35" s="28">
        <v>8.0</v>
      </c>
      <c r="G35" s="28" t="s">
        <v>34</v>
      </c>
      <c r="H35" s="28" t="s">
        <v>102</v>
      </c>
      <c r="I35" s="28">
        <v>8.0</v>
      </c>
      <c r="J35" s="4" t="s">
        <v>108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>
      <c r="A36" s="4">
        <v>35.0</v>
      </c>
      <c r="B36" s="26" t="s">
        <v>135</v>
      </c>
      <c r="C36" s="27" t="s">
        <v>141</v>
      </c>
      <c r="D36" s="26" t="s">
        <v>29</v>
      </c>
      <c r="E36" s="28" t="s">
        <v>61</v>
      </c>
      <c r="F36" s="28">
        <v>5.0</v>
      </c>
      <c r="G36" s="28" t="s">
        <v>34</v>
      </c>
      <c r="H36" s="28" t="s">
        <v>32</v>
      </c>
      <c r="I36" s="28">
        <v>8.0</v>
      </c>
      <c r="J36" s="4" t="s">
        <v>108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>
      <c r="A37" s="4">
        <v>36.0</v>
      </c>
      <c r="B37" s="34" t="s">
        <v>142</v>
      </c>
      <c r="C37" s="35" t="s">
        <v>143</v>
      </c>
      <c r="D37" s="34" t="s">
        <v>69</v>
      </c>
      <c r="E37" s="36" t="s">
        <v>30</v>
      </c>
      <c r="F37" s="36">
        <v>8.0</v>
      </c>
      <c r="G37" s="36" t="s">
        <v>34</v>
      </c>
      <c r="H37" s="36" t="s">
        <v>62</v>
      </c>
      <c r="I37" s="36">
        <v>9.0</v>
      </c>
      <c r="J37" s="4" t="s">
        <v>108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25" customHeight="1">
      <c r="A38" s="4">
        <v>37.0</v>
      </c>
      <c r="B38" s="34" t="s">
        <v>142</v>
      </c>
      <c r="C38" s="35" t="s">
        <v>144</v>
      </c>
      <c r="D38" s="34" t="s">
        <v>29</v>
      </c>
      <c r="E38" s="36" t="s">
        <v>61</v>
      </c>
      <c r="F38" s="36">
        <v>5.0</v>
      </c>
      <c r="G38" s="36" t="s">
        <v>34</v>
      </c>
      <c r="H38" s="36" t="s">
        <v>62</v>
      </c>
      <c r="I38" s="36">
        <v>9.0</v>
      </c>
      <c r="J38" s="4" t="s">
        <v>108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25" customHeight="1">
      <c r="A39" s="4">
        <v>38.0</v>
      </c>
      <c r="B39" s="34" t="s">
        <v>142</v>
      </c>
      <c r="C39" s="35" t="s">
        <v>145</v>
      </c>
      <c r="D39" s="34" t="s">
        <v>69</v>
      </c>
      <c r="E39" s="36" t="s">
        <v>30</v>
      </c>
      <c r="F39" s="36">
        <v>8.0</v>
      </c>
      <c r="G39" s="36" t="s">
        <v>43</v>
      </c>
      <c r="H39" s="36" t="s">
        <v>62</v>
      </c>
      <c r="I39" s="36">
        <v>9.0</v>
      </c>
      <c r="J39" s="4" t="s">
        <v>108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25" customHeight="1">
      <c r="A40" s="4">
        <v>39.0</v>
      </c>
      <c r="B40" s="34" t="s">
        <v>142</v>
      </c>
      <c r="C40" s="35" t="s">
        <v>146</v>
      </c>
      <c r="D40" s="34" t="s">
        <v>29</v>
      </c>
      <c r="E40" s="36" t="s">
        <v>30</v>
      </c>
      <c r="F40" s="36">
        <v>13.0</v>
      </c>
      <c r="G40" s="36" t="s">
        <v>43</v>
      </c>
      <c r="H40" s="36" t="s">
        <v>32</v>
      </c>
      <c r="I40" s="36">
        <v>10.0</v>
      </c>
      <c r="J40" s="4" t="s">
        <v>108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25" customHeight="1">
      <c r="A41" s="4">
        <v>40.0</v>
      </c>
      <c r="B41" s="34" t="s">
        <v>142</v>
      </c>
      <c r="C41" s="35" t="s">
        <v>147</v>
      </c>
      <c r="D41" s="34" t="s">
        <v>29</v>
      </c>
      <c r="E41" s="36" t="s">
        <v>30</v>
      </c>
      <c r="F41" s="36">
        <v>8.0</v>
      </c>
      <c r="G41" s="36" t="s">
        <v>43</v>
      </c>
      <c r="H41" s="36" t="s">
        <v>62</v>
      </c>
      <c r="I41" s="36">
        <v>10.0</v>
      </c>
      <c r="J41" s="4" t="s">
        <v>108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25" customHeight="1">
      <c r="A42" s="4">
        <v>41.0</v>
      </c>
      <c r="B42" s="37" t="s">
        <v>148</v>
      </c>
      <c r="C42" s="38" t="s">
        <v>149</v>
      </c>
      <c r="D42" s="37" t="s">
        <v>29</v>
      </c>
      <c r="E42" s="39" t="s">
        <v>30</v>
      </c>
      <c r="F42" s="39">
        <v>8.0</v>
      </c>
      <c r="G42" s="39" t="s">
        <v>34</v>
      </c>
      <c r="H42" s="39" t="s">
        <v>41</v>
      </c>
      <c r="I42" s="39">
        <v>11.0</v>
      </c>
      <c r="J42" s="4" t="s">
        <v>108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25" customHeight="1">
      <c r="A43" s="4">
        <v>42.0</v>
      </c>
      <c r="B43" s="37" t="s">
        <v>148</v>
      </c>
      <c r="C43" s="38" t="s">
        <v>150</v>
      </c>
      <c r="D43" s="37" t="s">
        <v>29</v>
      </c>
      <c r="E43" s="39" t="s">
        <v>61</v>
      </c>
      <c r="F43" s="39">
        <v>5.0</v>
      </c>
      <c r="G43" s="39" t="s">
        <v>34</v>
      </c>
      <c r="H43" s="39" t="s">
        <v>41</v>
      </c>
      <c r="I43" s="39">
        <v>11.0</v>
      </c>
      <c r="J43" s="4" t="s">
        <v>108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4">
        <v>43.0</v>
      </c>
      <c r="B44" s="37" t="s">
        <v>148</v>
      </c>
      <c r="C44" s="38" t="s">
        <v>151</v>
      </c>
      <c r="D44" s="37" t="s">
        <v>29</v>
      </c>
      <c r="E44" s="39" t="s">
        <v>30</v>
      </c>
      <c r="F44" s="39">
        <v>8.0</v>
      </c>
      <c r="G44" s="39" t="s">
        <v>34</v>
      </c>
      <c r="H44" s="39" t="s">
        <v>102</v>
      </c>
      <c r="I44" s="39">
        <v>11.0</v>
      </c>
      <c r="J44" s="4" t="s">
        <v>108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25" customHeight="1">
      <c r="A45" s="4">
        <v>44.0</v>
      </c>
      <c r="B45" s="37" t="s">
        <v>148</v>
      </c>
      <c r="C45" s="38" t="s">
        <v>152</v>
      </c>
      <c r="D45" s="37" t="s">
        <v>29</v>
      </c>
      <c r="E45" s="39" t="s">
        <v>30</v>
      </c>
      <c r="F45" s="39">
        <v>5.0</v>
      </c>
      <c r="G45" s="39" t="s">
        <v>31</v>
      </c>
      <c r="H45" s="39" t="s">
        <v>102</v>
      </c>
      <c r="I45" s="39">
        <v>11.0</v>
      </c>
      <c r="J45" s="4" t="s">
        <v>108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25" customHeight="1">
      <c r="A46" s="4">
        <v>45.0</v>
      </c>
      <c r="B46" s="40" t="s">
        <v>153</v>
      </c>
      <c r="C46" s="41" t="s">
        <v>154</v>
      </c>
      <c r="D46" s="40" t="s">
        <v>29</v>
      </c>
      <c r="E46" s="42" t="s">
        <v>30</v>
      </c>
      <c r="F46" s="42">
        <v>13.0</v>
      </c>
      <c r="G46" s="42" t="s">
        <v>51</v>
      </c>
      <c r="H46" s="42" t="s">
        <v>41</v>
      </c>
      <c r="I46" s="42">
        <v>12.0</v>
      </c>
      <c r="J46" s="4" t="s">
        <v>108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25" customHeight="1">
      <c r="A47" s="4">
        <v>46.0</v>
      </c>
      <c r="B47" s="40" t="s">
        <v>153</v>
      </c>
      <c r="C47" s="41" t="s">
        <v>155</v>
      </c>
      <c r="D47" s="40" t="s">
        <v>29</v>
      </c>
      <c r="E47" s="42" t="s">
        <v>30</v>
      </c>
      <c r="F47" s="42">
        <v>8.0</v>
      </c>
      <c r="G47" s="42" t="s">
        <v>34</v>
      </c>
      <c r="H47" s="42" t="s">
        <v>41</v>
      </c>
      <c r="I47" s="42">
        <v>12.0</v>
      </c>
      <c r="J47" s="4" t="s">
        <v>108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25" customHeight="1">
      <c r="A48" s="4">
        <v>47.0</v>
      </c>
      <c r="B48" s="40" t="s">
        <v>153</v>
      </c>
      <c r="C48" s="41" t="s">
        <v>156</v>
      </c>
      <c r="D48" s="40" t="s">
        <v>29</v>
      </c>
      <c r="E48" s="42" t="s">
        <v>30</v>
      </c>
      <c r="F48" s="42">
        <v>8.0</v>
      </c>
      <c r="G48" s="42" t="s">
        <v>51</v>
      </c>
      <c r="H48" s="42" t="s">
        <v>62</v>
      </c>
      <c r="I48" s="42">
        <v>12.0</v>
      </c>
      <c r="J48" s="4" t="s">
        <v>108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25" customHeight="1">
      <c r="A49" s="4">
        <v>48.0</v>
      </c>
      <c r="B49" s="40" t="s">
        <v>153</v>
      </c>
      <c r="C49" s="41" t="s">
        <v>157</v>
      </c>
      <c r="D49" s="40" t="s">
        <v>29</v>
      </c>
      <c r="E49" s="42" t="s">
        <v>30</v>
      </c>
      <c r="F49" s="42">
        <v>8.0</v>
      </c>
      <c r="G49" s="42" t="s">
        <v>34</v>
      </c>
      <c r="H49" s="42" t="s">
        <v>62</v>
      </c>
      <c r="I49" s="42">
        <v>13.0</v>
      </c>
      <c r="J49" s="4" t="s">
        <v>108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25" customHeight="1">
      <c r="A50" s="4">
        <v>49.0</v>
      </c>
      <c r="B50" s="40" t="s">
        <v>153</v>
      </c>
      <c r="C50" s="41" t="s">
        <v>158</v>
      </c>
      <c r="D50" s="40" t="s">
        <v>29</v>
      </c>
      <c r="E50" s="42" t="s">
        <v>61</v>
      </c>
      <c r="F50" s="42">
        <v>5.0</v>
      </c>
      <c r="G50" s="42" t="s">
        <v>31</v>
      </c>
      <c r="H50" s="42" t="s">
        <v>62</v>
      </c>
      <c r="I50" s="42">
        <v>13.0</v>
      </c>
      <c r="J50" s="4" t="s">
        <v>108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25" customHeight="1">
      <c r="A51" s="4">
        <v>50.0</v>
      </c>
      <c r="B51" s="40" t="s">
        <v>153</v>
      </c>
      <c r="C51" s="41" t="s">
        <v>159</v>
      </c>
      <c r="D51" s="40" t="s">
        <v>29</v>
      </c>
      <c r="E51" s="42" t="s">
        <v>30</v>
      </c>
      <c r="F51" s="42">
        <v>8.0</v>
      </c>
      <c r="G51" s="42" t="s">
        <v>34</v>
      </c>
      <c r="H51" s="42" t="s">
        <v>52</v>
      </c>
      <c r="I51" s="42">
        <v>13.0</v>
      </c>
      <c r="J51" s="4" t="s">
        <v>108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6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6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6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6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6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6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6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6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6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6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6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6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6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6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6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6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6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6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6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6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6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6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6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6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6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6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6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6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6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6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6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6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6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6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6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6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6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6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6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6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6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6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6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6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6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6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6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6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6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6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6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6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6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6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6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6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6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6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6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6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6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6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6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6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6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6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6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6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6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6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6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6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6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6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6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6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6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6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6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6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6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6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6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6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6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6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6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6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6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6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6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6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6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6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6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6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6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6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6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6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6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6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6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6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6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6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6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6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6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6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6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6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6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6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6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6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6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6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6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6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6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6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6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6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6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6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6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6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6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6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6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6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6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6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6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6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6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6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6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6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6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6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6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6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6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6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6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6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6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6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6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6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6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6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6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6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6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6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6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6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6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6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6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6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6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6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6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6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6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6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6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6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6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6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6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6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6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6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6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6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6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6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6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6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6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6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6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6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6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6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6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6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6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6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6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6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6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6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6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6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6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6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6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6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6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6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6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6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6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6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6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6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6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6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6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6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6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6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6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6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6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6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6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6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6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6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6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6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6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6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6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6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6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6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6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6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6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6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6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6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6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6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6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6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6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6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6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6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6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6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6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6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6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6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6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6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6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6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6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6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6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6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6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6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6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6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6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6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6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6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6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6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6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6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6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6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6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6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6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6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6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6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6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6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6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6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6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6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6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6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6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6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6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6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6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6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6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6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6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6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6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6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6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6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6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6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6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6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6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6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6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6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6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6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6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6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6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6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6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6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6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6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6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6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6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6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6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6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6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6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6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6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6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6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6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6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6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6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6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6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6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6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6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6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6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6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6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6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6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6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6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6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6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6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6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6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6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6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6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6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6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6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6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6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6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6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6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6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6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6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6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6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6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6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6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6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6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6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6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6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6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6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6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6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6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6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6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6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6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6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6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6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6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6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6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6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6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6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6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6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6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6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6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6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6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6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6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6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6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6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6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6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6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6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6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6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6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6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6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6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6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6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6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6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6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6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6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6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6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6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6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6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6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6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6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6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6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6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6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6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6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6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6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6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6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6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6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6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6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6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6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6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6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6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6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6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6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6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6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6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6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6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6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6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6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6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6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6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6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6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6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6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6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6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6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6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6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6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6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6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6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6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6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6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6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6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6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6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6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6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6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6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6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6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6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6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6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6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6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6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6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6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6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6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6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6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6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6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6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6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6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6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6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6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6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6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6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6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6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6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6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6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6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6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6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6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6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6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6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6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6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6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6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6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6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6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6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6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6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6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6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6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6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6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6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6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6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6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6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6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6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6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6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6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6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6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6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6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6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6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6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6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6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6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6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6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6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6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6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6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6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6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6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6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6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6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6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6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6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6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6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6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6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6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6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6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6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6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6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6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6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6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6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6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6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6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6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6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6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6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6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6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6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6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6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6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6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6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6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6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6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6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6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6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6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6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6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6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6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6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6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6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6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6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6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6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6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6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6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6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6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6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6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6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6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6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6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6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6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6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6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6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6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6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6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6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6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6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6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6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6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6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6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6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6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6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6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6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6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6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6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6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6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6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6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6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6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6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6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6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6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6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6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6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6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6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6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6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6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6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6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6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6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6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6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6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6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6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6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6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6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6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6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6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6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6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6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6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6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6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6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6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6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6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6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6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6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6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6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6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6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6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6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6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6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6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6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6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6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6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6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6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6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6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6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6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6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6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6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6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6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6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6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6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6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6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6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6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6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6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6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6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6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6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6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6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6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6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6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6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6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6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6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6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6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6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6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6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6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6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6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6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6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6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6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6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6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6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6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6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6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6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6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6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6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6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6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6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6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6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6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6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6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6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6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6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6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6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6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6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6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6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6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6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6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6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6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6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6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6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6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6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6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6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6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6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6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6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6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6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6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6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6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6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6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6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6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6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6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6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6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6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6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6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6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6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6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6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6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6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6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6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6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6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6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6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6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6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6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6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6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6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6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6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6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6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6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6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6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6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6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6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6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6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6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6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6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6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6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6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6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6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6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6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6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6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6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6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6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6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6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6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6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6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6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6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6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6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6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6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6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6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6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6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6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6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6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6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6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6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6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6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6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6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6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6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6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6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6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2:D51">
      <formula1>"Historia,Tarea técnica"</formula1>
    </dataValidation>
    <dataValidation type="list" allowBlank="1" showErrorMessage="1" sqref="J2:J51">
      <formula1>"Por hacer,En progreso,Realizado"</formula1>
    </dataValidation>
    <dataValidation type="list" allowBlank="1" showErrorMessage="1" sqref="E2:E51">
      <formula1>"Alta,Media"</formula1>
    </dataValidation>
    <dataValidation type="list" allowBlank="1" showErrorMessage="1" sqref="G2:G51">
      <formula1>"Backend,Frontend,FullStack,LT,QA"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5.29"/>
    <col customWidth="1" min="3" max="3" width="17.14"/>
    <col customWidth="1" min="4" max="4" width="55.14"/>
    <col customWidth="1" min="5" max="5" width="14.0"/>
    <col customWidth="1" min="6" max="6" width="80.29"/>
    <col customWidth="1" min="7" max="7" width="19.57"/>
    <col customWidth="1" min="8" max="8" width="30.43"/>
    <col customWidth="1" min="9" max="26" width="8.71"/>
  </cols>
  <sheetData>
    <row r="1" ht="26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19</v>
      </c>
      <c r="B2" s="5">
        <v>46266.0</v>
      </c>
      <c r="C2" s="5">
        <v>46279.0</v>
      </c>
      <c r="D2" s="8" t="s">
        <v>25</v>
      </c>
      <c r="E2" s="8" t="s">
        <v>27</v>
      </c>
      <c r="F2" s="10" t="s">
        <v>28</v>
      </c>
      <c r="G2" s="3">
        <f>SUMIFS(Backlog!$F$2:$F$51,Backlog!$I$2:$I$51,1)</f>
        <v>32</v>
      </c>
      <c r="H2" s="9" t="s">
        <v>33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3" t="s">
        <v>38</v>
      </c>
      <c r="B3" s="5">
        <v>46280.0</v>
      </c>
      <c r="C3" s="5">
        <v>46293.0</v>
      </c>
      <c r="D3" s="8" t="s">
        <v>39</v>
      </c>
      <c r="E3" s="8" t="s">
        <v>40</v>
      </c>
      <c r="F3" s="8" t="s">
        <v>42</v>
      </c>
      <c r="G3" s="3">
        <f>SUMIFS(Backlog!$F$2:$F$51,Backlog!$I$2:$I$51,2)</f>
        <v>47</v>
      </c>
      <c r="H3" s="9" t="s">
        <v>44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3" t="s">
        <v>46</v>
      </c>
      <c r="B4" s="5">
        <v>46294.0</v>
      </c>
      <c r="C4" s="5">
        <v>46307.0</v>
      </c>
      <c r="D4" s="8" t="s">
        <v>47</v>
      </c>
      <c r="E4" s="8" t="s">
        <v>48</v>
      </c>
      <c r="F4" s="8" t="s">
        <v>49</v>
      </c>
      <c r="G4" s="3">
        <f>SUMIFS(Backlog!$F$2:$F$51,Backlog!$I$2:$I$51,3)</f>
        <v>34</v>
      </c>
      <c r="H4" s="9" t="s">
        <v>53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3" t="s">
        <v>55</v>
      </c>
      <c r="B5" s="5">
        <v>46308.0</v>
      </c>
      <c r="C5" s="5">
        <v>46321.0</v>
      </c>
      <c r="D5" s="8" t="s">
        <v>57</v>
      </c>
      <c r="E5" s="8" t="s">
        <v>58</v>
      </c>
      <c r="F5" s="8" t="s">
        <v>59</v>
      </c>
      <c r="G5" s="3">
        <f>SUMIFS(Backlog!$F$2:$F$51,Backlog!$I$2:$I$51,4)</f>
        <v>21</v>
      </c>
      <c r="H5" s="9" t="s">
        <v>63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3" t="s">
        <v>66</v>
      </c>
      <c r="B6" s="5">
        <v>46322.0</v>
      </c>
      <c r="C6" s="5">
        <v>46335.0</v>
      </c>
      <c r="D6" s="8" t="s">
        <v>68</v>
      </c>
      <c r="E6" s="8" t="s">
        <v>70</v>
      </c>
      <c r="F6" s="8" t="s">
        <v>71</v>
      </c>
      <c r="G6" s="3">
        <f>SUMIFS(Backlog!$F$2:$F$51,Backlog!$I$2:$I$51,5)</f>
        <v>29</v>
      </c>
      <c r="H6" s="9" t="s">
        <v>73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3" t="s">
        <v>75</v>
      </c>
      <c r="B7" s="5">
        <v>46336.0</v>
      </c>
      <c r="C7" s="5">
        <v>46349.0</v>
      </c>
      <c r="D7" s="8" t="s">
        <v>77</v>
      </c>
      <c r="E7" s="8" t="s">
        <v>70</v>
      </c>
      <c r="F7" s="8" t="s">
        <v>78</v>
      </c>
      <c r="G7" s="3">
        <f>SUMIFS(Backlog!$F$2:$F$51,Backlog!$I$2:$I$51,6)</f>
        <v>18</v>
      </c>
      <c r="H7" s="9" t="s">
        <v>41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3" t="s">
        <v>82</v>
      </c>
      <c r="B8" s="5">
        <v>46350.0</v>
      </c>
      <c r="C8" s="5">
        <v>46363.0</v>
      </c>
      <c r="D8" s="8" t="s">
        <v>84</v>
      </c>
      <c r="E8" s="8" t="s">
        <v>85</v>
      </c>
      <c r="F8" s="8" t="s">
        <v>86</v>
      </c>
      <c r="G8" s="3">
        <f>SUMIFS(Backlog!$F$2:$F$51,Backlog!$I$2:$I$51,7)</f>
        <v>34</v>
      </c>
      <c r="H8" s="9" t="s">
        <v>89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3" t="s">
        <v>91</v>
      </c>
      <c r="B9" s="5">
        <v>46364.0</v>
      </c>
      <c r="C9" s="5">
        <v>46377.0</v>
      </c>
      <c r="D9" s="8" t="s">
        <v>93</v>
      </c>
      <c r="E9" s="8" t="s">
        <v>85</v>
      </c>
      <c r="F9" s="8" t="s">
        <v>94</v>
      </c>
      <c r="G9" s="3">
        <f>SUMIFS(Backlog!$F$2:$F$51,Backlog!$I$2:$I$51,8)</f>
        <v>21</v>
      </c>
      <c r="H9" s="9" t="s">
        <v>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3" t="s">
        <v>97</v>
      </c>
      <c r="B10" s="5">
        <v>46378.0</v>
      </c>
      <c r="C10" s="5">
        <v>46391.0</v>
      </c>
      <c r="D10" s="8" t="s">
        <v>98</v>
      </c>
      <c r="E10" s="8" t="s">
        <v>100</v>
      </c>
      <c r="F10" s="8" t="s">
        <v>101</v>
      </c>
      <c r="G10" s="3">
        <f>SUMIFS(Backlog!$F$2:$F$51,Backlog!$I$2:$I$51,9)</f>
        <v>21</v>
      </c>
      <c r="H10" s="9" t="s">
        <v>62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3" t="s">
        <v>104</v>
      </c>
      <c r="B11" s="5">
        <v>46392.0</v>
      </c>
      <c r="C11" s="5">
        <v>46405.0</v>
      </c>
      <c r="D11" s="8" t="s">
        <v>105</v>
      </c>
      <c r="E11" s="8" t="s">
        <v>100</v>
      </c>
      <c r="F11" s="8" t="s">
        <v>106</v>
      </c>
      <c r="G11" s="3">
        <f>SUMIFS(Backlog!$F$2:$F$51,Backlog!$I$2:$I$51,10)</f>
        <v>21</v>
      </c>
      <c r="H11" s="9" t="s">
        <v>32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3" t="s">
        <v>110</v>
      </c>
      <c r="B12" s="5">
        <v>46406.0</v>
      </c>
      <c r="C12" s="5">
        <v>46419.0</v>
      </c>
      <c r="D12" s="8" t="s">
        <v>111</v>
      </c>
      <c r="E12" s="8" t="s">
        <v>112</v>
      </c>
      <c r="F12" s="8" t="s">
        <v>113</v>
      </c>
      <c r="G12" s="3">
        <f>SUMIFS(Backlog!$F$2:$F$51,Backlog!$I$2:$I$51,11)</f>
        <v>26</v>
      </c>
      <c r="H12" s="9" t="s">
        <v>52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3" t="s">
        <v>117</v>
      </c>
      <c r="B13" s="5">
        <v>46420.0</v>
      </c>
      <c r="C13" s="5">
        <v>46433.0</v>
      </c>
      <c r="D13" s="8" t="s">
        <v>118</v>
      </c>
      <c r="E13" s="8" t="s">
        <v>119</v>
      </c>
      <c r="F13" s="8" t="s">
        <v>120</v>
      </c>
      <c r="G13" s="3">
        <f>SUMIFS(Backlog!$F$2:$F$51,Backlog!$I$2:$I$51,12)</f>
        <v>29</v>
      </c>
      <c r="H13" s="9" t="s">
        <v>41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3" t="s">
        <v>123</v>
      </c>
      <c r="B14" s="5">
        <v>46434.0</v>
      </c>
      <c r="C14" s="5">
        <v>46447.0</v>
      </c>
      <c r="D14" s="8" t="s">
        <v>124</v>
      </c>
      <c r="E14" s="8" t="s">
        <v>119</v>
      </c>
      <c r="F14" s="8" t="s">
        <v>125</v>
      </c>
      <c r="G14" s="3">
        <f>SUMIFS(Backlog!$F$2:$F$51,Backlog!$I$2:$I$51,13)</f>
        <v>21</v>
      </c>
      <c r="H14" s="9" t="s">
        <v>52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29" t="s">
        <v>129</v>
      </c>
      <c r="B15" s="30"/>
      <c r="C15" s="30"/>
      <c r="D15" s="30"/>
      <c r="E15" s="30"/>
      <c r="F15" s="31"/>
      <c r="G15" s="17">
        <f>SUM(G2:G14)</f>
        <v>354</v>
      </c>
      <c r="H15" s="3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2"/>
      <c r="B18" s="2"/>
      <c r="C18" s="2"/>
      <c r="D18" s="2"/>
      <c r="E18" s="2"/>
      <c r="F18" s="3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6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6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6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6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6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6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6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6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6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6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6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6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6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6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6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6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6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6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6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6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6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6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6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6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6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6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6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6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6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6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6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6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6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6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6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6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6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6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6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6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6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6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6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6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6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6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6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6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6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6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6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6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6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6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6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6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6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6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6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6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6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6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6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6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6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6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6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6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6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6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6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6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6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6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6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6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6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6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6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6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6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6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6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6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6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6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6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6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6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6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6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6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6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6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6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6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6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6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6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6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6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6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6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6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6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6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6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6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6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6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6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6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6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6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6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6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6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6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6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6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6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6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6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6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6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6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6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6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6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6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6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6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6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6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6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6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6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6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6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6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6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6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6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6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6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6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6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6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6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6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6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6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6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6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6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6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6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6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6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6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6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6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6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6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6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6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6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6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6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6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6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6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6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6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6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6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6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6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6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6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6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6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6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6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6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6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6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6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6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6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6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6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6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6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6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6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6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6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6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6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6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6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6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6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6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6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6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6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6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6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6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6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6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6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6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6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6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6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6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6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6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6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6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6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6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6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6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6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6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6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6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6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6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6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6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6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6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6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6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6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6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6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6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6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6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6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6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6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6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6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6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6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6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6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6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6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6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6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6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6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6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6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6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6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6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6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6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6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6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6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6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6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6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6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6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6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6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6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6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6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6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6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6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6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6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6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6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6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6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6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6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6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6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6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6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6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6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6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6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6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6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6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6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6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6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6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6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6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6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6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6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6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6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6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6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6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6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6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6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6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6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6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6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6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6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6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6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6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6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6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6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6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6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6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6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6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6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6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6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6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6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6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6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6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6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6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6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6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6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6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6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6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6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6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6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6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6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6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6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6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6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6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6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6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6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6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6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6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6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6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6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6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6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6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6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6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6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6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6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6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6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6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6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6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6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6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6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6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6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6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6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6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6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6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6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6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6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6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6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6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6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6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6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6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6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6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6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6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6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6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6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6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6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6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6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6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6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6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6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6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6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6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6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6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6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6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6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6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6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6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6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6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6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6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6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6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6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6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6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6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6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6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6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6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6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6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6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6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6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6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6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6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6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6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6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6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6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6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6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6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6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6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6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6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6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6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6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6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6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6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6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6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6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6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6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6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6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6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6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6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6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6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6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6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6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6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6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6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6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6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6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6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6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6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6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6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6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6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6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6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6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6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6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6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6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6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6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6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6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6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6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6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6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6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6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6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6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6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6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6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6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6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6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6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6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6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6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6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6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6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6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6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6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6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6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6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6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6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6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6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6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6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6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6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6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6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6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6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6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6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6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6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6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6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6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6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6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6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6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6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6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6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6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6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6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6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6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6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6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6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6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6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6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6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6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6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6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6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6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6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6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6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6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6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6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6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6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6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6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6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6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6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6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6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6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6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6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6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6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6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6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6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6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6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6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6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6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6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6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6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6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6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6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6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6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6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6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6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6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6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6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6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6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6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6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6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6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6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6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6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6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6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6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6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6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6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6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6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6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6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6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6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6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6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6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6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6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6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6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6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6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6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6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6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6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6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6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6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6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6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6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6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6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6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6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6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6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6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6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6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6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6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6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6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6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6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6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6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6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6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6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6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6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6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6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6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6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6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6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6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6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6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6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6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6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6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6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6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6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6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6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6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6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6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6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6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6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6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6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6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6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6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6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6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6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6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6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6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6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6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6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6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6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6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6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6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6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6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6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6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6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6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6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6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6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6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6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6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6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6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6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6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6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6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6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6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6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6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6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6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6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6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6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6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6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6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6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6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6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6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6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6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6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6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6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6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6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6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6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6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6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6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6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6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6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6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6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6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6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6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6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6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6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6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6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6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6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6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6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6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6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6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6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6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6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6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6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6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6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6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6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6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6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6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6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6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6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6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6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6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6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6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6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6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6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6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6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6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6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6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6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6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6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6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6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6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6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6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6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6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6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6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6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6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6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6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6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6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6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6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6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6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6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6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6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6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6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6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6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6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6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6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6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6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6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6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6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6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6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6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6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6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6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6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6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6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6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6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6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6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6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6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6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6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6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6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6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6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6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6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6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6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6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6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6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6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6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6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6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6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6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6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6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6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6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6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6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6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6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5:F15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17.43"/>
    <col customWidth="1" min="3" max="3" width="55.0"/>
    <col customWidth="1" min="4" max="4" width="40.0"/>
    <col customWidth="1" min="5" max="26" width="8.71"/>
  </cols>
  <sheetData>
    <row r="1" ht="26.25" customHeight="1">
      <c r="A1" s="1" t="s">
        <v>18</v>
      </c>
      <c r="B1" s="1" t="s">
        <v>20</v>
      </c>
      <c r="C1" s="1" t="s">
        <v>21</v>
      </c>
      <c r="D1" s="1" t="s">
        <v>22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26</v>
      </c>
      <c r="B2" s="3">
        <v>1.0</v>
      </c>
      <c r="C2" s="3">
        <v>5.0</v>
      </c>
      <c r="D2" s="3">
        <f t="shared" ref="D2:D10" si="1">B2*C2</f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9" t="s">
        <v>34</v>
      </c>
      <c r="B3" s="3">
        <v>2.0</v>
      </c>
      <c r="C3" s="3">
        <v>10.0</v>
      </c>
      <c r="D3" s="3">
        <f t="shared" si="1"/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9" t="s">
        <v>37</v>
      </c>
      <c r="B4" s="3">
        <v>2.0</v>
      </c>
      <c r="C4" s="3">
        <v>10.0</v>
      </c>
      <c r="D4" s="3">
        <f t="shared" si="1"/>
        <v>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9" t="s">
        <v>43</v>
      </c>
      <c r="B5" s="3">
        <v>1.0</v>
      </c>
      <c r="C5" s="3">
        <v>8.0</v>
      </c>
      <c r="D5" s="3">
        <f t="shared" si="1"/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9" t="s">
        <v>51</v>
      </c>
      <c r="B6" s="3">
        <v>2.0</v>
      </c>
      <c r="C6" s="3">
        <v>8.0</v>
      </c>
      <c r="D6" s="3">
        <f t="shared" si="1"/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9" t="s">
        <v>56</v>
      </c>
      <c r="B7" s="3">
        <v>1.0</v>
      </c>
      <c r="C7" s="3">
        <v>6.0</v>
      </c>
      <c r="D7" s="3">
        <f t="shared" si="1"/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9" t="s">
        <v>65</v>
      </c>
      <c r="B8" s="3">
        <v>1.0</v>
      </c>
      <c r="C8" s="3">
        <v>6.0</v>
      </c>
      <c r="D8" s="3">
        <f t="shared" si="1"/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9" t="s">
        <v>74</v>
      </c>
      <c r="B9" s="3">
        <v>1.0</v>
      </c>
      <c r="C9" s="3">
        <v>3.0</v>
      </c>
      <c r="D9" s="3">
        <f t="shared" si="1"/>
        <v>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9" t="s">
        <v>79</v>
      </c>
      <c r="B10" s="3">
        <v>1.0</v>
      </c>
      <c r="C10" s="3">
        <v>3.0</v>
      </c>
      <c r="D10" s="3">
        <f t="shared" si="1"/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16" t="s">
        <v>81</v>
      </c>
      <c r="B11" s="17">
        <f>SUM(B2:B10)</f>
        <v>12</v>
      </c>
      <c r="C11" s="18"/>
      <c r="D11" s="17">
        <f>SUM(D2:D10)</f>
        <v>87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1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1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6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6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6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6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6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6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6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6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6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6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6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6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6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6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6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6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6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6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6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6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6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6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6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6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6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6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6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6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6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6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6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6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6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6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6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6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6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6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6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6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6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6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6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6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6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6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6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6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6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6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6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6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6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6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6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6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6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6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6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6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6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6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6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6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6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6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6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6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6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6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6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6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6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6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6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6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6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6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6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6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6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6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6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6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6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6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6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6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6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6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6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6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6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6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6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6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6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6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6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6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6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6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6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6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6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6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6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6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6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6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6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6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6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6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6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6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6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6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6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6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6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6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6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6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6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6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6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6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6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6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6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6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6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6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6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6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6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6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6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6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6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6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6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6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6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6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6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6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6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6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6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6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6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6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6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6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6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6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6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6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6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6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6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6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6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6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6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6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6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6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6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6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6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6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6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6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6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6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6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6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6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6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6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6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6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6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6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6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6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6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6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6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6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6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6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6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6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6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6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6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6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6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6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6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6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6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6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6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6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6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6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6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6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6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6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6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6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6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6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6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6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6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6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6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6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6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6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6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6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6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6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6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6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6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6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6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6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6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6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6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6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6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6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6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6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6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6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6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6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6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6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6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6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6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6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6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6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6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6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6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6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6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6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6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6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6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6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6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6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6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6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6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6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6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6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6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6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6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6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6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6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6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6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6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6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6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6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6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6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6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6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6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6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6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6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6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6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6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6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6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6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6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6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6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6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6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6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6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6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6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6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6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6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6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6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6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6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6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6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6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6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6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6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6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6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6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6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6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6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6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6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6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6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6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6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6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6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6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6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6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6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6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6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6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6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6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6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6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6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6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6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6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6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6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6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6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6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6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6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6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6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6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6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6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6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6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6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6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6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6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6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6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6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6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6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6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6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6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6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6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6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6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6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6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6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6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6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6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6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6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6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6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6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6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6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6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6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6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6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6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6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6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6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6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6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6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6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6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6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6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6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6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6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6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6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6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6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6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6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6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6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6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6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6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6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6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6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6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6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6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6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6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6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6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6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6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6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6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6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6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6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6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6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6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6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6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6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6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6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6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6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6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6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6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6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6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6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6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6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6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6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6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6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6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6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6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6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6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6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6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6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6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6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6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6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6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6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6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6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6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6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6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6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6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6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6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6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6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6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6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6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6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6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6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6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6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6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6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6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6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6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6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6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6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6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6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6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6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6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6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6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6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6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6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6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6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6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6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6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6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6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6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6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6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6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6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6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6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6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6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6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6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6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6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6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6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6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6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6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6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6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6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6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6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6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6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6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6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6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6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6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6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6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6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6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6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6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6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6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6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6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6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6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6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6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6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6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6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6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6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6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6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6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6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6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6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6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6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6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6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6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6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6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6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6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6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6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6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6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6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6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6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6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6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6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6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6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6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6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6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6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6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6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6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6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6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6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6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6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6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6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6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6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6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6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6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6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6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6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6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6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6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6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6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6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6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6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6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6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6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6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6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6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6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6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6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6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6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6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6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6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6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6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6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6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6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6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6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6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6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6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6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6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6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6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6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6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6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6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6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6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6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6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6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6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6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6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6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6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6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6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6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6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6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6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6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6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6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6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6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6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6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6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6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6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6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6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6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6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6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6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6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6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6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6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6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6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6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6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6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6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6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6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6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6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6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6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6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6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6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6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6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6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6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6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6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6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6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6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6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6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6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6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6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6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6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6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6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6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6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6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6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6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6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6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6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6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6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6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6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6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6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6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6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6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6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6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6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6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6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6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6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6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6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6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6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6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6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6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6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6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6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6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6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6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6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6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6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6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6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6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6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6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6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6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6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6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6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6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6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6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6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6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6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6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6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6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6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6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6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6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6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6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6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6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6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6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6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6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6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6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6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6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6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6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6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6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6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6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6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6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6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6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6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6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6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6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6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6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6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6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6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6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6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6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6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6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6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6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6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6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6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6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6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6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6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6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6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6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6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6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6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6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6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6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6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6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6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6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6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6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6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6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6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6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6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6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6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6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6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6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6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6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6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6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6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6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6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6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6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6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6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6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6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6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6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6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6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6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6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6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6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6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6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6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6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6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6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6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6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6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6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6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6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6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6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6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6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6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